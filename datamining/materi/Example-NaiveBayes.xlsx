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a\Documents\"/>
    </mc:Choice>
  </mc:AlternateContent>
  <xr:revisionPtr revIDLastSave="0" documentId="8_{BF095EB4-64F9-4CE3-B615-EBC0126DD232}" xr6:coauthVersionLast="47" xr6:coauthVersionMax="47" xr10:uidLastSave="{00000000-0000-0000-0000-000000000000}"/>
  <bookViews>
    <workbookView xWindow="-120" yWindow="-120" windowWidth="20730" windowHeight="11040" xr2:uid="{02E2DEB8-054B-476A-94DE-21D062335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28" i="1" s="1"/>
  <c r="C15" i="1"/>
  <c r="C23" i="1" s="1"/>
  <c r="C26" i="1" l="1"/>
  <c r="C29" i="1"/>
  <c r="C27" i="1"/>
  <c r="C21" i="1"/>
  <c r="C20" i="1"/>
  <c r="C22" i="1"/>
  <c r="C24" i="1" l="1"/>
  <c r="C30" i="1"/>
  <c r="J16" i="1" l="1"/>
</calcChain>
</file>

<file path=xl/sharedStrings.xml><?xml version="1.0" encoding="utf-8"?>
<sst xmlns="http://schemas.openxmlformats.org/spreadsheetml/2006/main" count="83" uniqueCount="31">
  <si>
    <t>No</t>
  </si>
  <si>
    <t>Cuaca (Outlook)</t>
  </si>
  <si>
    <t>Suhu (Temp)</t>
  </si>
  <si>
    <t>Kelembapan (Humidity)</t>
  </si>
  <si>
    <t>Berangin (Windy)</t>
  </si>
  <si>
    <t>Main (Play)</t>
  </si>
  <si>
    <t>Cerah</t>
  </si>
  <si>
    <t>Panas</t>
  </si>
  <si>
    <t>Tinggi</t>
  </si>
  <si>
    <t>Salah</t>
  </si>
  <si>
    <t>Tidak</t>
  </si>
  <si>
    <t>Benar</t>
  </si>
  <si>
    <t>Berawan</t>
  </si>
  <si>
    <t>Ya</t>
  </si>
  <si>
    <t>Hujan</t>
  </si>
  <si>
    <t>Sejuk</t>
  </si>
  <si>
    <t>Dingin</t>
  </si>
  <si>
    <t>Normal</t>
  </si>
  <si>
    <t>Jumlah "Ya"</t>
  </si>
  <si>
    <t>Jumlah "Tidak"</t>
  </si>
  <si>
    <r>
      <rPr>
        <b/>
        <sz val="11"/>
        <color theme="1"/>
        <rFont val="Calibri"/>
        <family val="2"/>
        <scheme val="minor"/>
      </rPr>
      <t xml:space="preserve">Menghitung Prior </t>
    </r>
    <r>
      <rPr>
        <b/>
        <sz val="11"/>
        <color theme="1"/>
        <rFont val="Arial"/>
        <family val="2"/>
      </rPr>
      <t>P(C)</t>
    </r>
  </si>
  <si>
    <r>
      <t xml:space="preserve">Menghitung Likelihood </t>
    </r>
    <r>
      <rPr>
        <b/>
        <sz val="11"/>
        <color theme="1"/>
        <rFont val="Arial"/>
        <family val="2"/>
      </rPr>
      <t>P(X|C)</t>
    </r>
  </si>
  <si>
    <t>Input Outlook</t>
  </si>
  <si>
    <t>Input Temp</t>
  </si>
  <si>
    <t>Input Humidity</t>
  </si>
  <si>
    <t>Input Windy</t>
  </si>
  <si>
    <t>Input Prediksi</t>
  </si>
  <si>
    <t>P( X | Ya)</t>
  </si>
  <si>
    <t>P( X | Tidak)</t>
  </si>
  <si>
    <t>Prediksi</t>
  </si>
  <si>
    <t>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</si>
</sst>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2" xfId="0" applyFont="1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vertical="center" wrapTex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right" vertical="center" readingOrder="1"/>
    </xf>
    <xf numFmtId="0" fontId="3" fillId="0" borderId="2" xfId="0" applyFont="1" applyBorder="1" applyAlignment="1">
      <alignment vertical="center" readingOrder="1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DED4-BC06-4892-A92F-6F599E116BE1}">
  <dimension ref="A1:J31"/>
  <sheetViews>
    <sheetView tabSelected="1" zoomScale="106" workbookViewId="0">
      <selection activeCell="I20" sqref="I20"/>
    </sheetView>
  </sheetViews>
  <sheetFormatPr defaultRowHeight="15" x14ac:dyDescent="0.25"/>
  <cols>
    <col min="2" max="2" width="17.5703125" bestFit="1" customWidth="1"/>
    <col min="3" max="3" width="14.140625" bestFit="1" customWidth="1"/>
    <col min="4" max="4" width="24.7109375" bestFit="1" customWidth="1"/>
    <col min="5" max="5" width="18.5703125" bestFit="1" customWidth="1"/>
    <col min="6" max="6" width="15.28515625" bestFit="1" customWidth="1"/>
    <col min="7" max="7" width="12.85546875" bestFit="1" customWidth="1"/>
    <col min="8" max="8" width="16.28515625" bestFit="1" customWidth="1"/>
    <col min="9" max="9" width="13.42578125" bestFit="1" customWidth="1"/>
    <col min="10" max="10" width="11.7109375" bestFit="1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10" ht="15.75" thickBot="1" x14ac:dyDescent="0.3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10" ht="15.75" thickBot="1" x14ac:dyDescent="0.3">
      <c r="A3" s="3">
        <v>2</v>
      </c>
      <c r="B3" s="3" t="s">
        <v>6</v>
      </c>
      <c r="C3" s="3" t="s">
        <v>7</v>
      </c>
      <c r="D3" s="3" t="s">
        <v>8</v>
      </c>
      <c r="E3" s="3" t="s">
        <v>11</v>
      </c>
      <c r="F3" s="4" t="s">
        <v>10</v>
      </c>
    </row>
    <row r="4" spans="1:10" ht="15.75" thickBot="1" x14ac:dyDescent="0.3">
      <c r="A4" s="3">
        <v>3</v>
      </c>
      <c r="B4" s="3" t="s">
        <v>12</v>
      </c>
      <c r="C4" s="3" t="s">
        <v>7</v>
      </c>
      <c r="D4" s="3" t="s">
        <v>8</v>
      </c>
      <c r="E4" s="3" t="s">
        <v>9</v>
      </c>
      <c r="F4" s="4" t="s">
        <v>13</v>
      </c>
    </row>
    <row r="5" spans="1:10" ht="15.75" thickBot="1" x14ac:dyDescent="0.3">
      <c r="A5" s="3">
        <v>4</v>
      </c>
      <c r="B5" s="3" t="s">
        <v>14</v>
      </c>
      <c r="C5" s="3" t="s">
        <v>15</v>
      </c>
      <c r="D5" s="3" t="s">
        <v>8</v>
      </c>
      <c r="E5" s="3" t="s">
        <v>9</v>
      </c>
      <c r="F5" s="4" t="s">
        <v>13</v>
      </c>
    </row>
    <row r="6" spans="1:10" ht="15.75" thickBot="1" x14ac:dyDescent="0.3">
      <c r="A6" s="3">
        <v>5</v>
      </c>
      <c r="B6" s="3" t="s">
        <v>14</v>
      </c>
      <c r="C6" s="3" t="s">
        <v>16</v>
      </c>
      <c r="D6" s="3" t="s">
        <v>17</v>
      </c>
      <c r="E6" s="3" t="s">
        <v>9</v>
      </c>
      <c r="F6" s="4" t="s">
        <v>13</v>
      </c>
    </row>
    <row r="7" spans="1:10" ht="15.75" thickBot="1" x14ac:dyDescent="0.3">
      <c r="A7" s="3">
        <v>6</v>
      </c>
      <c r="B7" s="3" t="s">
        <v>14</v>
      </c>
      <c r="C7" s="3" t="s">
        <v>16</v>
      </c>
      <c r="D7" s="3" t="s">
        <v>17</v>
      </c>
      <c r="E7" s="3" t="s">
        <v>11</v>
      </c>
      <c r="F7" s="4" t="s">
        <v>10</v>
      </c>
    </row>
    <row r="8" spans="1:10" ht="15.75" thickBot="1" x14ac:dyDescent="0.3">
      <c r="A8" s="3">
        <v>7</v>
      </c>
      <c r="B8" s="3" t="s">
        <v>12</v>
      </c>
      <c r="C8" s="3" t="s">
        <v>16</v>
      </c>
      <c r="D8" s="3" t="s">
        <v>17</v>
      </c>
      <c r="E8" s="3" t="s">
        <v>11</v>
      </c>
      <c r="F8" s="4" t="s">
        <v>13</v>
      </c>
    </row>
    <row r="9" spans="1:10" ht="15.75" thickBot="1" x14ac:dyDescent="0.3">
      <c r="A9" s="3">
        <v>8</v>
      </c>
      <c r="B9" s="3" t="s">
        <v>6</v>
      </c>
      <c r="C9" s="3" t="s">
        <v>15</v>
      </c>
      <c r="D9" s="3" t="s">
        <v>8</v>
      </c>
      <c r="E9" s="3" t="s">
        <v>9</v>
      </c>
      <c r="F9" s="4" t="s">
        <v>10</v>
      </c>
    </row>
    <row r="10" spans="1:10" ht="15.75" thickBot="1" x14ac:dyDescent="0.3">
      <c r="A10" s="3">
        <v>9</v>
      </c>
      <c r="B10" s="3" t="s">
        <v>6</v>
      </c>
      <c r="C10" s="3" t="s">
        <v>16</v>
      </c>
      <c r="D10" s="3" t="s">
        <v>17</v>
      </c>
      <c r="E10" s="3" t="s">
        <v>9</v>
      </c>
      <c r="F10" s="4" t="s">
        <v>13</v>
      </c>
    </row>
    <row r="11" spans="1:10" ht="15.75" thickBot="1" x14ac:dyDescent="0.3">
      <c r="A11" s="3">
        <v>10</v>
      </c>
      <c r="B11" s="3" t="s">
        <v>14</v>
      </c>
      <c r="C11" s="3" t="s">
        <v>15</v>
      </c>
      <c r="D11" s="3" t="s">
        <v>17</v>
      </c>
      <c r="E11" s="3" t="s">
        <v>9</v>
      </c>
      <c r="F11" s="4" t="s">
        <v>13</v>
      </c>
    </row>
    <row r="14" spans="1:10" ht="15.75" customHeight="1" x14ac:dyDescent="0.25">
      <c r="B14" s="7" t="s">
        <v>20</v>
      </c>
      <c r="C14" s="7"/>
      <c r="F14" s="11" t="s">
        <v>26</v>
      </c>
      <c r="G14" s="11"/>
      <c r="H14" s="11"/>
      <c r="I14" s="11"/>
      <c r="J14" s="8" t="s">
        <v>30</v>
      </c>
    </row>
    <row r="15" spans="1:10" x14ac:dyDescent="0.25">
      <c r="B15" s="5" t="s">
        <v>18</v>
      </c>
      <c r="C15" s="6">
        <f>COUNTIF(F2:F11, "Ya")</f>
        <v>6</v>
      </c>
      <c r="F15" s="12" t="s">
        <v>22</v>
      </c>
      <c r="G15" s="12" t="s">
        <v>23</v>
      </c>
      <c r="H15" s="12" t="s">
        <v>24</v>
      </c>
      <c r="I15" s="13" t="s">
        <v>25</v>
      </c>
      <c r="J15" s="15" t="s">
        <v>29</v>
      </c>
    </row>
    <row r="16" spans="1:10" x14ac:dyDescent="0.25">
      <c r="B16" s="5" t="s">
        <v>19</v>
      </c>
      <c r="C16" s="6">
        <f>COUNTIF(F2:F11, "Tidak")</f>
        <v>4</v>
      </c>
      <c r="F16" s="9" t="s">
        <v>6</v>
      </c>
      <c r="G16" s="9" t="s">
        <v>16</v>
      </c>
      <c r="H16" s="9" t="s">
        <v>8</v>
      </c>
      <c r="I16" s="10" t="s">
        <v>9</v>
      </c>
      <c r="J16" s="6" t="str">
        <f>IF(C24 &gt; C30, "MAIN YA", "TIDAK MAIN")</f>
        <v>TIDAK MAIN</v>
      </c>
    </row>
    <row r="18" spans="2:3" x14ac:dyDescent="0.25">
      <c r="B18" s="14" t="s">
        <v>21</v>
      </c>
      <c r="C18" s="14"/>
    </row>
    <row r="19" spans="2:3" x14ac:dyDescent="0.25">
      <c r="B19" s="14" t="s">
        <v>13</v>
      </c>
      <c r="C19" s="14"/>
    </row>
    <row r="20" spans="2:3" x14ac:dyDescent="0.25">
      <c r="B20" s="6" t="s">
        <v>27</v>
      </c>
      <c r="C20" s="6">
        <f>COUNTIFS(B2:B11, F16, F2:F11, "Ya") / C15</f>
        <v>0.16666666666666666</v>
      </c>
    </row>
    <row r="21" spans="2:3" x14ac:dyDescent="0.25">
      <c r="B21" s="6" t="s">
        <v>27</v>
      </c>
      <c r="C21" s="6">
        <f>COUNTIFS(C2:C11, G16, F2:F11, "Ya") / C15</f>
        <v>0.5</v>
      </c>
    </row>
    <row r="22" spans="2:3" x14ac:dyDescent="0.25">
      <c r="B22" s="6" t="s">
        <v>27</v>
      </c>
      <c r="C22" s="6">
        <f>COUNTIFS(D2:D11, H16, F2:F11, "Ya") / C15</f>
        <v>0.33333333333333331</v>
      </c>
    </row>
    <row r="23" spans="2:3" x14ac:dyDescent="0.25">
      <c r="B23" s="6" t="s">
        <v>27</v>
      </c>
      <c r="C23" s="6">
        <f>COUNTIFS(E2:E11, I16, F2:F11, "Ya") / C15</f>
        <v>0.83333333333333337</v>
      </c>
    </row>
    <row r="24" spans="2:3" x14ac:dyDescent="0.25">
      <c r="B24" s="5" t="s">
        <v>13</v>
      </c>
      <c r="C24" s="5">
        <f>C20*C21*C22*C23*C15</f>
        <v>0.1388888888888889</v>
      </c>
    </row>
    <row r="25" spans="2:3" x14ac:dyDescent="0.25">
      <c r="B25" s="14" t="s">
        <v>10</v>
      </c>
      <c r="C25" s="14"/>
    </row>
    <row r="26" spans="2:3" x14ac:dyDescent="0.25">
      <c r="B26" s="6" t="s">
        <v>28</v>
      </c>
      <c r="C26" s="6">
        <f>COUNTIFS(B2:B11, F16, F2:F11, "Tidak") / C16</f>
        <v>0.75</v>
      </c>
    </row>
    <row r="27" spans="2:3" x14ac:dyDescent="0.25">
      <c r="B27" s="6" t="s">
        <v>28</v>
      </c>
      <c r="C27" s="6">
        <f>COUNTIFS(C2:C11, G16, F2:F11, "Tidak") / C16</f>
        <v>0.25</v>
      </c>
    </row>
    <row r="28" spans="2:3" x14ac:dyDescent="0.25">
      <c r="B28" s="6" t="s">
        <v>28</v>
      </c>
      <c r="C28" s="6">
        <f>COUNTIFS(D2:D11, H16, F2:F11, "Tidak") / C16</f>
        <v>0.75</v>
      </c>
    </row>
    <row r="29" spans="2:3" x14ac:dyDescent="0.25">
      <c r="B29" s="6" t="s">
        <v>28</v>
      </c>
      <c r="C29" s="6">
        <f>COUNTIFS(E2:E11, I16, F2:F11, "Tidak") / C16</f>
        <v>0.5</v>
      </c>
    </row>
    <row r="30" spans="2:3" x14ac:dyDescent="0.25">
      <c r="B30" s="5" t="s">
        <v>10</v>
      </c>
      <c r="C30" s="5">
        <f>C26*C27*C28*C29*C16</f>
        <v>0.28125</v>
      </c>
    </row>
    <row r="31" spans="2:3" x14ac:dyDescent="0.25">
      <c r="B31" s="5"/>
      <c r="C31" s="6"/>
    </row>
  </sheetData>
  <mergeCells count="5">
    <mergeCell ref="B14:C14"/>
    <mergeCell ref="B18:C18"/>
    <mergeCell ref="F14:I14"/>
    <mergeCell ref="B19:C19"/>
    <mergeCell ref="B25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hyda</dc:creator>
  <cp:lastModifiedBy>hyda</cp:lastModifiedBy>
  <dcterms:created xsi:type="dcterms:W3CDTF">2026-05-08T00:05:20Z</dcterms:created>
  <dcterms:modified xsi:type="dcterms:W3CDTF">2026-05-08T00:40:57Z</dcterms:modified>
</cp:coreProperties>
</file>